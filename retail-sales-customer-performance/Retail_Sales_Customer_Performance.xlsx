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15e2ded41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5c83252d5e442e"/>
    <x:sheet xmlns:r="http://schemas.openxmlformats.org/officeDocument/2006/relationships" name="Monthly Trend" sheetId="2" r:id="R3bc10d92b3854b25"/>
    <x:sheet xmlns:r="http://schemas.openxmlformats.org/officeDocument/2006/relationships" name="Customer Segments" sheetId="3" r:id="R0836c69d635847ae"/>
    <x:sheet xmlns:r="http://schemas.openxmlformats.org/officeDocument/2006/relationships" name="Markets &amp; Products" sheetId="4" r:id="Rf911fbf935cb4654"/>
    <x:sheet xmlns:r="http://schemas.openxmlformats.org/officeDocument/2006/relationships" name="Notes" sheetId="5" r:id="R7247c2bc8b6c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£#,##0"/>
    <x:numFmt numFmtId="201" formatCode="£#,##0.00"/>
    <x:numFmt numFmtId="202" formatCode="#,##0"/>
    <x:numFmt numFmtId="203" formatCode="mmm yyyy"/>
    <x:numFmt numFmtId="204" formatCode="0.0%"/>
    <x:numFmt numFmtId="205" formatCode="0"/>
    <x:numFmt numFmtId="206" formatCode="@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0"/>
      <x:color rgb="FF627D98"/>
      <x:name val="Carlito"/>
    </x:font>
    <x:font>
      <x:b/>
      <x:sz val="10"/>
      <x:color rgb="FF0F766E"/>
      <x:name val="Carlito"/>
    </x:font>
    <x:font>
      <x:b/>
      <x:sz val="18"/>
      <x:color rgb="FF102A43"/>
      <x:name val="Carlito"/>
    </x:font>
    <x:font>
      <x:b/>
      <x:sz val="12"/>
      <x:color rgb="FF102A43"/>
      <x:name val="Carlito"/>
    </x:font>
    <x:font>
      <x:sz val="9"/>
      <x:color rgb="FF243B53"/>
      <x:name val="Carlito"/>
    </x:font>
    <x:font>
      <x:b/>
      <x:sz val="11"/>
      <x:color rgb="FF102A43"/>
      <x:name val="Carlito"/>
    </x:font>
    <x:font>
      <x:sz val="10"/>
      <x:color rgb="FF243B5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0F766E"/>
      </x:patternFill>
    </x:fill>
    <x:fill>
      <x:patternFill patternType="solid">
        <x:fgColor rgb="FFE6FFFA"/>
      </x:patternFill>
    </x:fill>
    <x:fill>
      <x:patternFill patternType="solid">
        <x:fgColor rgb="FFF5F8FA"/>
      </x:patternFill>
    </x:fill>
    <x:fill>
      <x:patternFill patternType="solid">
        <x:fgColor rgb="FFFFF7E0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/>
    <x:xf numFmtId="202" fontId="5" fillId="5" borderId="0" xfId="0" applyNumberFormat="1" applyFont="1" applyFill="1" applyBorder="1" applyAlignment="1">
      <x:alignment horizontal="center"/>
    </x:xf>
    <x:xf numFmtId="202" fontId="5" fillId="5" borderId="0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/>
    <x:xf numFmtId="204" fontId="5" fillId="5" borderId="0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 vertical="center"/>
    </x:xf>
    <x:xf numFmtId="206" fontId="5" fillId="5" borderId="0" xfId="0" applyNumberFormat="1" applyFont="1" applyFill="1" applyBorder="1"/>
    <x:xf numFmtId="206" fontId="5" fillId="5" borderId="0" xfId="0" applyNumberFormat="1" applyFont="1" applyFill="1" applyBorder="1" applyAlignment="1">
      <x:alignment horizontal="center"/>
    </x:xf>
    <x:xf numFmtId="206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321e28c844441" /><Relationship Type="http://schemas.openxmlformats.org/officeDocument/2006/relationships/theme" Target="/xl/theme/theme1.xml" Id="R6bb51b453a3f4088" /><Relationship Type="http://schemas.openxmlformats.org/officeDocument/2006/relationships/sharedStrings" Target="/xl/sharedStrings.xml" Id="Rc1c55e58cb7a4da4" /><Relationship Type="http://schemas.openxmlformats.org/officeDocument/2006/relationships/worksheet" Target="/xl/worksheets/sheet1.xml" Id="Rcc5c83252d5e442e" /><Relationship Type="http://schemas.openxmlformats.org/officeDocument/2006/relationships/worksheet" Target="/xl/worksheets/sheet2.xml" Id="R3bc10d92b3854b25" /><Relationship Type="http://schemas.openxmlformats.org/officeDocument/2006/relationships/worksheet" Target="/xl/worksheets/sheet3.xml" Id="R0836c69d635847ae" /><Relationship Type="http://schemas.openxmlformats.org/officeDocument/2006/relationships/worksheet" Target="/xl/worksheets/sheet4.xml" Id="Rf911fbf935cb4654" /><Relationship Type="http://schemas.openxmlformats.org/officeDocument/2006/relationships/worksheet" Target="/xl/worksheets/sheet5.xml" Id="R7247c2bc8b6c44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f67de9bc704e30" /><Relationship Type="http://schemas.openxmlformats.org/officeDocument/2006/relationships/chart" Target="/xl/drawings/charts/chart2.xml" Id="R858b2257a9974b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revenue (GBP)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(GBP)</c:v>
          </c:tx>
          <c:marker>
            <c:symbol val="none"/>
          </c:marker>
          <c:cat>
            <c:strRef>
              <c:f>'Monthly Trend'!$A$4:$A$16</c:f>
              <c:strCache>
                <c:ptCount val="0"/>
              </c:strCache>
            </c:strRef>
          </c:cat>
          <c:val>
            <c:numRef>
              <c:f>'Monthly Trend'!$C$4:$C$16</c:f>
              <c:numCache>
                <c:formatCode>£#,##0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customer segment (GBP)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(GBP)</c:v>
          </c:tx>
          <c:cat>
            <c:strRef>
              <c:f>'Customer Segments'!$A$4:$A$10</c:f>
              <c:strCache>
                <c:ptCount val="0"/>
              </c:strCache>
            </c:strRef>
          </c:cat>
          <c:val>
            <c:numRef>
              <c:f>'Customer Segments'!$E$4:$E$10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f67de9bc704e30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b2257a9974b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fe6b7fc4ec4a03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RETAIL SALES &amp; CUSTOMER PERFORMANCE</x:v>
      </x:c>
      <x:c r="B1" s="3"/>
      <x:c r="C1" s="3"/>
      <x:c r="D1" s="3"/>
      <x:c r="E1" s="3"/>
      <x:c r="F1" s="3"/>
      <x:c r="G1" s="3"/>
      <x:c r="H1" s="3"/>
    </x:row>
    <x:row r="2">
      <x:c r="A2" s="15" t="str">
        <x:v>Historical portfolio analysis | UCI Online Retail | 1 Dec 2010 – 9 Dec 2011</x:v>
      </x:c>
      <x:c r="B2" s="15"/>
      <x:c r="C2" s="15"/>
      <x:c r="D2" s="15"/>
      <x:c r="E2" s="15"/>
      <x:c r="F2" s="15"/>
      <x:c r="G2" s="15"/>
      <x:c r="H2" s="15"/>
    </x:row>
    <x:row r="4">
      <x:c r="A4" s="19" t="str">
        <x:v>Recorded Sales</x:v>
      </x:c>
      <x:c r="C4" s="19" t="str">
        <x:v>Orders</x:v>
      </x:c>
      <x:c r="E4" s="19" t="str">
        <x:v>Average Order Value</x:v>
      </x:c>
      <x:c r="G4" s="19" t="str">
        <x:v>Identified Customers</x:v>
      </x:c>
    </x:row>
    <x:row r="5">
      <x:c r="A5" s="24" t="n">
        <x:f>ROUND(SUM('Monthly Trend'!C4:C16),0)</x:f>
        <x:v>10666685</x:v>
      </x:c>
      <x:c r="C5" s="27" t="n">
        <x:f>SUM('Monthly Trend'!D4:D16)</x:f>
        <x:v>19960</x:v>
      </x:c>
      <x:c r="E5" s="24" t="n">
        <x:f>ROUND(A5/C5,0)</x:f>
        <x:v>534</x:v>
      </x:c>
      <x:c r="G5" s="27" t="n">
        <x:f>SUM('Customer Segments'!B4:B10)</x:f>
        <x:v>4338</x:v>
      </x:c>
    </x:row>
    <x:row r="8">
      <x:c r="A8" s="19" t="str">
        <x:v>Repeat Customers</x:v>
      </x:c>
      <x:c r="C8" s="19" t="str">
        <x:v>Repeat Customer Rate</x:v>
      </x:c>
      <x:c r="E8" s="19" t="str">
        <x:v>Units Sold</x:v>
      </x:c>
      <x:c r="G8" s="19" t="str">
        <x:v>Top Market</x:v>
      </x:c>
    </x:row>
    <x:row r="9">
      <x:c r="A9" s="27" t="n">
        <x:f>SUM('Customer Segments'!H4:H10)</x:f>
        <x:v>2845</x:v>
      </x:c>
      <x:c r="C9" s="30" t="n">
        <x:f>A9/G5</x:f>
        <x:v>0.6558321807284463</x:v>
      </x:c>
      <x:c r="E9" s="27" t="n">
        <x:f>SUM('Monthly Trend'!F4:F16)</x:f>
        <x:v>5588376</x:v>
      </x:c>
      <x:c r="G9" s="33" t="str">
        <x:v>United Kingdom</x:v>
      </x:c>
    </x:row>
    <x:row r="12">
      <x:c r="A12" s="34" t="str">
        <x:v>Monthly recorded revenue</x:v>
      </x:c>
      <x:c r="B12" s="34"/>
      <x:c r="C12" s="34"/>
      <x:c r="D12" s="34"/>
      <x:c r="E12" s="34" t="str">
        <x:v>Customer revenue by segment</x:v>
      </x:c>
      <x:c r="F12" s="34"/>
      <x:c r="G12" s="34"/>
      <x:c r="H12" s="34"/>
    </x:row>
    <x:row r="31">
      <x:c r="A31" s="38" t="str">
        <x:v>Sales = positive quantity × unit price on non-cancelled lines; includes valid postage and service lines. Customer metrics include identified customers only. December 2011 is partial. See Notes for methodology and limitations.</x:v>
      </x:c>
      <x:c r="B31" s="38"/>
      <x:c r="C31" s="38"/>
      <x:c r="D31" s="38"/>
      <x:c r="E31" s="38"/>
      <x:c r="F31" s="38"/>
      <x:c r="G31" s="38"/>
      <x:c r="H31" s="38"/>
    </x:row>
    <x:row r="32">
      <x:c r="A32" s="38"/>
      <x:c r="B32" s="38"/>
      <x:c r="C32" s="38"/>
      <x:c r="D32" s="38"/>
      <x:c r="E32" s="38"/>
      <x:c r="F32" s="38"/>
      <x:c r="G32" s="38"/>
      <x:c r="H32" s="38"/>
    </x:row>
  </x:sheetData>
  <x:pageMargins left="0.7" right="0.7" top="0.75" bottom="0.75" header="0.3" footer="0.3"/>
  <x:drawing xmlns:r="http://schemas.openxmlformats.org/officeDocument/2006/relationships" r:id="Rf8fe6b7fc4ec4a0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22" hidden="0" customWidth="1"/>
    <x:col min="4" max="4" width="14" hidden="0" customWidth="1"/>
    <x:col min="5" max="5" width="20" hidden="0" customWidth="1"/>
    <x:col min="6" max="6" width="16" hidden="0" customWidth="1"/>
    <x:col min="7" max="7" width="28" hidden="0" customWidth="1"/>
  </x:cols>
  <x:sheetData>
    <x:row r="1" ht="34" customHeight="1">
      <x:c r="A1" s="3" t="str">
        <x:v>Monthly Sales Trend | GBP</x:v>
      </x:c>
      <x:c r="B1" s="3"/>
      <x:c r="C1" s="3"/>
      <x:c r="D1" s="3"/>
      <x:c r="E1" s="3"/>
      <x:c r="F1" s="3"/>
      <x:c r="G1" s="3"/>
    </x:row>
    <x:row r="3">
      <x:c r="A3" s="7" t="str">
        <x:v>Month</x:v>
      </x:c>
      <x:c r="B3" s="7" t="str">
        <x:v>Month Start</x:v>
      </x:c>
      <x:c r="C3" s="7" t="str">
        <x:v>Revenue (GBP)</x:v>
      </x:c>
      <x:c r="D3" s="7" t="str">
        <x:v>Orders</x:v>
      </x:c>
      <x:c r="E3" s="7" t="str">
        <x:v>Active Customers</x:v>
      </x:c>
      <x:c r="F3" s="7" t="str">
        <x:v>Units Sold</x:v>
      </x:c>
      <x:c r="G3" s="7" t="str">
        <x:v>Average Order Value (GBP)</x:v>
      </x:c>
    </x:row>
    <x:row r="4">
      <x:c r="A4" t="str">
        <x:v>Dec 2010</x:v>
      </x:c>
      <x:c r="B4" s="11" t="n">
        <x:v>40513</x:v>
      </x:c>
      <x:c r="C4" s="8" t="n">
        <x:v>823746.14</x:v>
      </x:c>
      <x:c r="D4" s="10" t="n">
        <x:v>1559</x:v>
      </x:c>
      <x:c r="E4" s="10" t="n">
        <x:v>885</x:v>
      </x:c>
      <x:c r="F4" s="10" t="n">
        <x:v>359239</x:v>
      </x:c>
      <x:c r="G4" s="9" t="n">
        <x:v>528.3811032713278</x:v>
      </x:c>
    </x:row>
    <x:row r="5">
      <x:c r="A5" t="str">
        <x:v>Jan 2011</x:v>
      </x:c>
      <x:c r="B5" s="11" t="n">
        <x:v>40544</x:v>
      </x:c>
      <x:c r="C5" s="8" t="n">
        <x:v>691364.56</x:v>
      </x:c>
      <x:c r="D5" s="10" t="n">
        <x:v>1086</x:v>
      </x:c>
      <x:c r="E5" s="10" t="n">
        <x:v>741</x:v>
      </x:c>
      <x:c r="F5" s="10" t="n">
        <x:v>387785</x:v>
      </x:c>
      <x:c r="G5" s="9" t="n">
        <x:v>636.6156169429098</x:v>
      </x:c>
    </x:row>
    <x:row r="6">
      <x:c r="A6" t="str">
        <x:v>Feb 2011</x:v>
      </x:c>
      <x:c r="B6" s="11" t="n">
        <x:v>40575</x:v>
      </x:c>
      <x:c r="C6" s="8" t="n">
        <x:v>523631.89</x:v>
      </x:c>
      <x:c r="D6" s="10" t="n">
        <x:v>1100</x:v>
      </x:c>
      <x:c r="E6" s="10" t="n">
        <x:v>758</x:v>
      </x:c>
      <x:c r="F6" s="10" t="n">
        <x:v>283555</x:v>
      </x:c>
      <x:c r="G6" s="9" t="n">
        <x:v>476.0289909090909</x:v>
      </x:c>
    </x:row>
    <x:row r="7">
      <x:c r="A7" t="str">
        <x:v>Mar 2011</x:v>
      </x:c>
      <x:c r="B7" s="11" t="n">
        <x:v>40603</x:v>
      </x:c>
      <x:c r="C7" s="8" t="n">
        <x:v>717639.36</x:v>
      </x:c>
      <x:c r="D7" s="10" t="n">
        <x:v>1454</x:v>
      </x:c>
      <x:c r="E7" s="10" t="n">
        <x:v>974</x:v>
      </x:c>
      <x:c r="F7" s="10" t="n">
        <x:v>377526</x:v>
      </x:c>
      <x:c r="G7" s="9" t="n">
        <x:v>493.56214580467673</x:v>
      </x:c>
    </x:row>
    <x:row r="8">
      <x:c r="A8" t="str">
        <x:v>Apr 2011</x:v>
      </x:c>
      <x:c r="B8" s="11" t="n">
        <x:v>40634</x:v>
      </x:c>
      <x:c r="C8" s="8" t="n">
        <x:v>537808.621</x:v>
      </x:c>
      <x:c r="D8" s="10" t="n">
        <x:v>1246</x:v>
      </x:c>
      <x:c r="E8" s="10" t="n">
        <x:v>856</x:v>
      </x:c>
      <x:c r="F8" s="10" t="n">
        <x:v>308815</x:v>
      </x:c>
      <x:c r="G8" s="9" t="n">
        <x:v>431.62810674157305</x:v>
      </x:c>
    </x:row>
    <x:row r="9">
      <x:c r="A9" t="str">
        <x:v>May 2011</x:v>
      </x:c>
      <x:c r="B9" s="11" t="n">
        <x:v>40664</x:v>
      </x:c>
      <x:c r="C9" s="8" t="n">
        <x:v>770536.02</x:v>
      </x:c>
      <x:c r="D9" s="10" t="n">
        <x:v>1681</x:v>
      </x:c>
      <x:c r="E9" s="10" t="n">
        <x:v>1056</x:v>
      </x:c>
      <x:c r="F9" s="10" t="n">
        <x:v>395738</x:v>
      </x:c>
      <x:c r="G9" s="9" t="n">
        <x:v>458.3795478881618</x:v>
      </x:c>
    </x:row>
    <x:row r="10">
      <x:c r="A10" t="str">
        <x:v>Jun 2011</x:v>
      </x:c>
      <x:c r="B10" s="11" t="n">
        <x:v>40695</x:v>
      </x:c>
      <x:c r="C10" s="8" t="n">
        <x:v>761739.9</x:v>
      </x:c>
      <x:c r="D10" s="10" t="n">
        <x:v>1533</x:v>
      </x:c>
      <x:c r="E10" s="10" t="n">
        <x:v>991</x:v>
      </x:c>
      <x:c r="F10" s="10" t="n">
        <x:v>389213</x:v>
      </x:c>
      <x:c r="G10" s="9" t="n">
        <x:v>496.8949119373777</x:v>
      </x:c>
    </x:row>
    <x:row r="11">
      <x:c r="A11" t="str">
        <x:v>Jul 2011</x:v>
      </x:c>
      <x:c r="B11" s="11" t="n">
        <x:v>40725</x:v>
      </x:c>
      <x:c r="C11" s="8" t="n">
        <x:v>719221.191</x:v>
      </x:c>
      <x:c r="D11" s="10" t="n">
        <x:v>1475</x:v>
      </x:c>
      <x:c r="E11" s="10" t="n">
        <x:v>949</x:v>
      </x:c>
      <x:c r="F11" s="10" t="n">
        <x:v>401759</x:v>
      </x:c>
      <x:c r="G11" s="9" t="n">
        <x:v>487.60758711864406</x:v>
      </x:c>
    </x:row>
    <x:row r="12">
      <x:c r="A12" t="str">
        <x:v>Aug 2011</x:v>
      </x:c>
      <x:c r="B12" s="11" t="n">
        <x:v>40756</x:v>
      </x:c>
      <x:c r="C12" s="8" t="n">
        <x:v>759138.38</x:v>
      </x:c>
      <x:c r="D12" s="10" t="n">
        <x:v>1361</x:v>
      </x:c>
      <x:c r="E12" s="10" t="n">
        <x:v>935</x:v>
      </x:c>
      <x:c r="F12" s="10" t="n">
        <x:v>421770</x:v>
      </x:c>
      <x:c r="G12" s="9" t="n">
        <x:v>557.7798530492286</x:v>
      </x:c>
    </x:row>
    <x:row r="13">
      <x:c r="A13" t="str">
        <x:v>Sep 2011</x:v>
      </x:c>
      <x:c r="B13" s="11" t="n">
        <x:v>40787</x:v>
      </x:c>
      <x:c r="C13" s="8" t="n">
        <x:v>1058590.172</x:v>
      </x:c>
      <x:c r="D13" s="10" t="n">
        <x:v>1837</x:v>
      </x:c>
      <x:c r="E13" s="10" t="n">
        <x:v>1266</x:v>
      </x:c>
      <x:c r="F13" s="10" t="n">
        <x:v>570820</x:v>
      </x:c>
      <x:c r="G13" s="9" t="n">
        <x:v>576.2603004899293</x:v>
      </x:c>
    </x:row>
    <x:row r="14">
      <x:c r="A14" t="str">
        <x:v>Oct 2011</x:v>
      </x:c>
      <x:c r="B14" s="11" t="n">
        <x:v>40817</x:v>
      </x:c>
      <x:c r="C14" s="8" t="n">
        <x:v>1154979.3</x:v>
      </x:c>
      <x:c r="D14" s="10" t="n">
        <x:v>2040</x:v>
      </x:c>
      <x:c r="E14" s="10" t="n">
        <x:v>1364</x:v>
      </x:c>
      <x:c r="F14" s="10" t="n">
        <x:v>623401</x:v>
      </x:c>
      <x:c r="G14" s="9" t="n">
        <x:v>566.1663235294118</x:v>
      </x:c>
    </x:row>
    <x:row r="15">
      <x:c r="A15" t="str">
        <x:v>Nov 2011</x:v>
      </x:c>
      <x:c r="B15" s="11" t="n">
        <x:v>40848</x:v>
      </x:c>
      <x:c r="C15" s="8" t="n">
        <x:v>1509496.33</x:v>
      </x:c>
      <x:c r="D15" s="10" t="n">
        <x:v>2769</x:v>
      </x:c>
      <x:c r="E15" s="10" t="n">
        <x:v>1664</x:v>
      </x:c>
      <x:c r="F15" s="10" t="n">
        <x:v>754507</x:v>
      </x:c>
      <x:c r="G15" s="9" t="n">
        <x:v>545.1413253882268</x:v>
      </x:c>
    </x:row>
    <x:row r="16">
      <x:c r="A16" t="str">
        <x:v>Dec 2011</x:v>
      </x:c>
      <x:c r="B16" s="11" t="n">
        <x:v>40878</x:v>
      </x:c>
      <x:c r="C16" s="8" t="n">
        <x:v>638792.68</x:v>
      </x:c>
      <x:c r="D16" s="10" t="n">
        <x:v>819</x:v>
      </x:c>
      <x:c r="E16" s="10" t="n">
        <x:v>615</x:v>
      </x:c>
      <x:c r="F16" s="10" t="n">
        <x:v>314248</x:v>
      </x:c>
      <x:c r="G16" s="9" t="n">
        <x:v>779.9666422466423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1" hidden="0" customWidth="1"/>
    <x:col min="4" max="4" width="14" hidden="0" customWidth="1"/>
    <x:col min="5" max="5" width="22" hidden="0" customWidth="1"/>
    <x:col min="6" max="6" width="26" hidden="0" customWidth="1"/>
    <x:col min="7" max="7" width="24" hidden="0" customWidth="1"/>
    <x:col min="8" max="8" width="19" hidden="0" customWidth="1"/>
  </x:cols>
  <x:sheetData>
    <x:row r="1" ht="34" customHeight="1">
      <x:c r="A1" s="3" t="str">
        <x:v>Customer Performance | RFM Segments</x:v>
      </x:c>
      <x:c r="B1" s="3"/>
      <x:c r="C1" s="3"/>
      <x:c r="D1" s="3"/>
      <x:c r="E1" s="3"/>
      <x:c r="F1" s="3"/>
      <x:c r="G1" s="3"/>
      <x:c r="H1" s="3"/>
    </x:row>
    <x:row r="3">
      <x:c r="A3" s="7" t="str">
        <x:v>Segment</x:v>
      </x:c>
      <x:c r="B3" s="7" t="str">
        <x:v>Customers</x:v>
      </x:c>
      <x:c r="C3" s="7" t="str">
        <x:v>Share of Identified</x:v>
      </x:c>
      <x:c r="D3" s="7" t="str">
        <x:v>Orders</x:v>
      </x:c>
      <x:c r="E3" s="7" t="str">
        <x:v>Revenue (GBP)</x:v>
      </x:c>
      <x:c r="F3" s="7" t="str">
        <x:v>Avg Revenue / Customer</x:v>
      </x:c>
      <x:c r="G3" s="7" t="str">
        <x:v>Median Recency (days)</x:v>
      </x:c>
      <x:c r="H3" s="7" t="str">
        <x:v>Repeat Customers</x:v>
      </x:c>
    </x:row>
    <x:row r="4">
      <x:c r="A4" t="str">
        <x:v>Champions</x:v>
      </x:c>
      <x:c r="B4" s="10" t="n">
        <x:v>1314</x:v>
      </x:c>
      <x:c r="C4" s="12" t="n">
        <x:v>0.3029045643153527</x:v>
      </x:c>
      <x:c r="D4" s="10" t="n">
        <x:v>12345</x:v>
      </x:c>
      <x:c r="E4" s="8" t="n">
        <x:v>6494962.501</x:v>
      </x:c>
      <x:c r="F4" s="8" t="n">
        <x:v>4942.893836377473</x:v>
      </x:c>
      <x:c r="G4" s="13" t="n">
        <x:v>15</x:v>
      </x:c>
      <x:c r="H4" s="10" t="n">
        <x:v>1314</x:v>
      </x:c>
    </x:row>
    <x:row r="5">
      <x:c r="A5" t="str">
        <x:v>Loyal customers</x:v>
      </x:c>
      <x:c r="B5" s="10" t="n">
        <x:v>199</x:v>
      </x:c>
      <x:c r="C5" s="12" t="n">
        <x:v>0.045873674504379895</x:v>
      </x:c>
      <x:c r="D5" s="10" t="n">
        <x:v>609</x:v>
      </x:c>
      <x:c r="E5" s="8" t="n">
        <x:v>92077.04</x:v>
      </x:c>
      <x:c r="F5" s="8" t="n">
        <x:v>462.6986934673366</x:v>
      </x:c>
      <x:c r="G5" s="13" t="n">
        <x:v>22</x:v>
      </x:c>
      <x:c r="H5" s="10" t="n">
        <x:v>199</x:v>
      </x:c>
    </x:row>
    <x:row r="6">
      <x:c r="A6" t="str">
        <x:v>Potential loyalists</x:v>
      </x:c>
      <x:c r="B6" s="10" t="n">
        <x:v>136</x:v>
      </x:c>
      <x:c r="C6" s="12" t="n">
        <x:v>0.03135085292761641</x:v>
      </x:c>
      <x:c r="D6" s="10" t="n">
        <x:v>245</x:v>
      </x:c>
      <x:c r="E6" s="8" t="n">
        <x:v>332659.44</x:v>
      </x:c>
      <x:c r="F6" s="8" t="n">
        <x:v>2446.0252941176473</x:v>
      </x:c>
      <x:c r="G6" s="13" t="n">
        <x:v>23</x:v>
      </x:c>
      <x:c r="H6" s="10" t="n">
        <x:v>109</x:v>
      </x:c>
    </x:row>
    <x:row r="7">
      <x:c r="A7" t="str">
        <x:v>Recent customers</x:v>
      </x:c>
      <x:c r="B7" s="10" t="n">
        <x:v>238</x:v>
      </x:c>
      <x:c r="C7" s="12" t="n">
        <x:v>0.05486399262332872</x:v>
      </x:c>
      <x:c r="D7" s="10" t="n">
        <x:v>238</x:v>
      </x:c>
      <x:c r="E7" s="8" t="n">
        <x:v>66639.43000000001</x:v>
      </x:c>
      <x:c r="F7" s="8" t="n">
        <x:v>279.99760504201686</x:v>
      </x:c>
      <x:c r="G7" s="13" t="n">
        <x:v>26</x:v>
      </x:c>
      <x:c r="H7" s="10" t="n">
        <x:v>0</x:v>
      </x:c>
    </x:row>
    <x:row r="8">
      <x:c r="A8" t="str">
        <x:v>At risk</x:v>
      </x:c>
      <x:c r="B8" s="10" t="n">
        <x:v>656</x:v>
      </x:c>
      <x:c r="C8" s="12" t="n">
        <x:v>0.1512217611802674</x:v>
      </x:c>
      <x:c r="D8" s="10" t="n">
        <x:v>2733</x:v>
      </x:c>
      <x:c r="E8" s="8" t="n">
        <x:v>1055268.301</x:v>
      </x:c>
      <x:c r="F8" s="8" t="n">
        <x:v>1608.6407027439025</x:v>
      </x:c>
      <x:c r="G8" s="13" t="n">
        <x:v>96</x:v>
      </x:c>
      <x:c r="H8" s="10" t="n">
        <x:v>656</x:v>
      </x:c>
    </x:row>
    <x:row r="9">
      <x:c r="A9" t="str">
        <x:v>Hibernating</x:v>
      </x:c>
      <x:c r="B9" s="10" t="n">
        <x:v>1247</x:v>
      </x:c>
      <x:c r="C9" s="12" t="n">
        <x:v>0.2874596588289534</x:v>
      </x:c>
      <x:c r="D9" s="10" t="n">
        <x:v>1481</x:v>
      </x:c>
      <x:c r="E9" s="8" t="n">
        <x:v>356549.071</x:v>
      </x:c>
      <x:c r="F9" s="8" t="n">
        <x:v>285.925477947073</x:v>
      </x:c>
      <x:c r="G9" s="13" t="n">
        <x:v>191</x:v>
      </x:c>
      <x:c r="H9" s="10" t="n">
        <x:v>234</x:v>
      </x:c>
    </x:row>
    <x:row r="10">
      <x:c r="A10" t="str">
        <x:v>Others</x:v>
      </x:c>
      <x:c r="B10" s="10" t="n">
        <x:v>548</x:v>
      </x:c>
      <x:c r="C10" s="12" t="n">
        <x:v>0.12632549562010142</x:v>
      </x:c>
      <x:c r="D10" s="10" t="n">
        <x:v>881</x:v>
      </x:c>
      <x:c r="E10" s="8" t="n">
        <x:v>513252.121</x:v>
      </x:c>
      <x:c r="F10" s="8" t="n">
        <x:v>936.591461678832</x:v>
      </x:c>
      <x:c r="G10" s="13" t="n">
        <x:v>51</x:v>
      </x:c>
      <x:c r="H10" s="10" t="n">
        <x:v>333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9" hidden="0" customWidth="1"/>
    <x:col min="3" max="3" width="13" hidden="0" customWidth="1"/>
    <x:col min="4" max="4" width="14" hidden="0" customWidth="1"/>
    <x:col min="5" max="5" width="15" hidden="0" customWidth="1"/>
    <x:col min="6" max="6" width="16" hidden="0" customWidth="1"/>
    <x:col min="7" max="7" width="3" hidden="0" customWidth="1"/>
    <x:col min="8" max="8" width="14" hidden="0" customWidth="1"/>
    <x:col min="9" max="9" width="42" hidden="0" customWidth="1"/>
    <x:col min="10" max="10" width="19" hidden="0" customWidth="1"/>
    <x:col min="11" max="11" width="15" hidden="0" customWidth="1"/>
    <x:col min="12" max="12" width="13" hidden="0" customWidth="1"/>
  </x:cols>
  <x:sheetData>
    <x:row r="1" ht="34" customHeight="1">
      <x:c r="A1" s="3" t="str">
        <x:v>Markets &amp; Merchandise | Top 10 and Top 15</x:v>
      </x:c>
      <x:c r="B1" s="3"/>
      <x:c r="C1" s="3"/>
      <x:c r="D1" s="3"/>
      <x:c r="E1" s="3"/>
      <x:c r="F1" s="3"/>
    </x:row>
    <x:row r="3">
      <x:c r="A3" s="7" t="str">
        <x:v>Country</x:v>
      </x:c>
      <x:c r="B3" s="7" t="str">
        <x:v>Revenue (GBP)</x:v>
      </x:c>
      <x:c r="C3" s="7" t="str">
        <x:v>Orders</x:v>
      </x:c>
      <x:c r="D3" s="7" t="str">
        <x:v>Customers</x:v>
      </x:c>
      <x:c r="E3" s="7" t="str">
        <x:v>Units Sold</x:v>
      </x:c>
      <x:c r="F3" s="7" t="str">
        <x:v>Revenue Share</x:v>
      </x:c>
      <x:c r="H3" s="7" t="str">
        <x:v>Stock Code</x:v>
      </x:c>
      <x:c r="I3" s="7" t="str">
        <x:v>Product</x:v>
      </x:c>
      <x:c r="J3" s="7" t="str">
        <x:v>Revenue (GBP)</x:v>
      </x:c>
      <x:c r="K3" s="7" t="str">
        <x:v>Units Sold</x:v>
      </x:c>
      <x:c r="L3" s="7" t="str">
        <x:v>Orders</x:v>
      </x:c>
    </x:row>
    <x:row r="4">
      <x:c r="A4" t="str">
        <x:v>United Kingdom</x:v>
      </x:c>
      <x:c r="B4" s="8" t="n">
        <x:v>9025222.084</x:v>
      </x:c>
      <x:c r="C4" s="10" t="n">
        <x:v>18019</x:v>
      </x:c>
      <x:c r="D4" s="10" t="n">
        <x:v>3920</x:v>
      </x:c>
      <x:c r="E4" s="10" t="n">
        <x:v>4662390</x:v>
      </x:c>
      <x:c r="F4" s="12" t="n">
        <x:v>0.8461131522893568</x:v>
      </x:c>
      <x:c r="H4" t="str">
        <x:v>22423</x:v>
      </x:c>
      <x:c r="I4" t="str">
        <x:v>REGENCY CAKESTAND 3 TIER</x:v>
      </x:c>
      <x:c r="J4" s="8" t="n">
        <x:v>174484.74</x:v>
      </x:c>
      <x:c r="K4" s="10" t="n">
        <x:v>13879</x:v>
      </x:c>
      <x:c r="L4" s="10" t="n">
        <x:v>1988</x:v>
      </x:c>
    </x:row>
    <x:row r="5">
      <x:c r="A5" t="str">
        <x:v>Netherlands</x:v>
      </x:c>
      <x:c r="B5" s="8" t="n">
        <x:v>285446.34</x:v>
      </x:c>
      <x:c r="C5" s="10" t="n">
        <x:v>94</x:v>
      </x:c>
      <x:c r="D5" s="10" t="n">
        <x:v>9</x:v>
      </x:c>
      <x:c r="E5" s="10" t="n">
        <x:v>200361</x:v>
      </x:c>
      <x:c r="F5" s="12" t="n">
        <x:v>0.026760549524319</x:v>
      </x:c>
      <x:c r="H5" t="str">
        <x:v>23843</x:v>
      </x:c>
      <x:c r="I5" t="str">
        <x:v>PAPER CRAFT , LITTLE BIRDIE</x:v>
      </x:c>
      <x:c r="J5" s="8" t="n">
        <x:v>168469.6</x:v>
      </x:c>
      <x:c r="K5" s="10" t="n">
        <x:v>80995</x:v>
      </x:c>
      <x:c r="L5" s="10" t="n">
        <x:v>1</x:v>
      </x:c>
    </x:row>
    <x:row r="6">
      <x:c r="A6" t="str">
        <x:v>EIRE</x:v>
      </x:c>
      <x:c r="B6" s="8" t="n">
        <x:v>283453.96</x:v>
      </x:c>
      <x:c r="C6" s="10" t="n">
        <x:v>288</x:v>
      </x:c>
      <x:c r="D6" s="10" t="n">
        <x:v>3</x:v>
      </x:c>
      <x:c r="E6" s="10" t="n">
        <x:v>147173</x:v>
      </x:c>
      <x:c r="F6" s="12" t="n">
        <x:v>0.026573764212371183</x:v>
      </x:c>
      <x:c r="H6" t="str">
        <x:v>85123A</x:v>
      </x:c>
      <x:c r="I6" t="str">
        <x:v>WHITE HANGING HEART T-LIGHT HOLDER</x:v>
      </x:c>
      <x:c r="J6" s="8" t="n">
        <x:v>104340.29000000001</x:v>
      </x:c>
      <x:c r="K6" s="10" t="n">
        <x:v>37599</x:v>
      </x:c>
      <x:c r="L6" s="10" t="n">
        <x:v>2189</x:v>
      </x:c>
    </x:row>
    <x:row r="7">
      <x:c r="A7" t="str">
        <x:v>Germany</x:v>
      </x:c>
      <x:c r="B7" s="8" t="n">
        <x:v>228867.14</x:v>
      </x:c>
      <x:c r="C7" s="10" t="n">
        <x:v>457</x:v>
      </x:c>
      <x:c r="D7" s="10" t="n">
        <x:v>94</x:v>
      </x:c>
      <x:c r="E7" s="10" t="n">
        <x:v>119261</x:v>
      </x:c>
      <x:c r="F7" s="12" t="n">
        <x:v>0.0214562584143109</x:v>
      </x:c>
      <x:c r="H7" t="str">
        <x:v>47566</x:v>
      </x:c>
      <x:c r="I7" t="str">
        <x:v>PARTY BUNTING</x:v>
      </x:c>
      <x:c r="J7" s="8" t="n">
        <x:v>99504.33</x:v>
      </x:c>
      <x:c r="K7" s="10" t="n">
        <x:v>18295</x:v>
      </x:c>
      <x:c r="L7" s="10" t="n">
        <x:v>1685</x:v>
      </x:c>
    </x:row>
    <x:row r="8">
      <x:c r="A8" t="str">
        <x:v>France</x:v>
      </x:c>
      <x:c r="B8" s="8" t="n">
        <x:v>209715.11</x:v>
      </x:c>
      <x:c r="C8" s="10" t="n">
        <x:v>392</x:v>
      </x:c>
      <x:c r="D8" s="10" t="n">
        <x:v>87</x:v>
      </x:c>
      <x:c r="E8" s="10" t="n">
        <x:v>112103</x:v>
      </x:c>
      <x:c r="F8" s="12" t="n">
        <x:v>0.019660758611068568</x:v>
      </x:c>
      <x:c r="H8" t="str">
        <x:v>85099B</x:v>
      </x:c>
      <x:c r="I8" t="str">
        <x:v>JUMBO BAG RED RETROSPOT</x:v>
      </x:c>
      <x:c r="J8" s="8" t="n">
        <x:v>94340.05</x:v>
      </x:c>
      <x:c r="K8" s="10" t="n">
        <x:v>48474</x:v>
      </x:c>
      <x:c r="L8" s="10" t="n">
        <x:v>2089</x:v>
      </x:c>
    </x:row>
    <x:row r="9">
      <x:c r="A9" t="str">
        <x:v>Australia</x:v>
      </x:c>
      <x:c r="B9" s="8" t="n">
        <x:v>138521.31</x:v>
      </x:c>
      <x:c r="C9" s="10" t="n">
        <x:v>57</x:v>
      </x:c>
      <x:c r="D9" s="10" t="n">
        <x:v>9</x:v>
      </x:c>
      <x:c r="E9" s="10" t="n">
        <x:v>83901</x:v>
      </x:c>
      <x:c r="F9" s="12" t="n">
        <x:v>0.012986351047375645</x:v>
      </x:c>
      <x:c r="H9" t="str">
        <x:v>23166</x:v>
      </x:c>
      <x:c r="I9" t="str">
        <x:v>MEDIUM CERAMIC TOP STORAGE JAR</x:v>
      </x:c>
      <x:c r="J9" s="8" t="n">
        <x:v>81700.92000000001</x:v>
      </x:c>
      <x:c r="K9" s="10" t="n">
        <x:v>78033</x:v>
      </x:c>
      <x:c r="L9" s="10" t="n">
        <x:v>247</x:v>
      </x:c>
    </x:row>
    <x:row r="10">
      <x:c r="A10" t="str">
        <x:v>Spain</x:v>
      </x:c>
      <x:c r="B10" s="8" t="n">
        <x:v>61577.11</x:v>
      </x:c>
      <x:c r="C10" s="10" t="n">
        <x:v>90</x:v>
      </x:c>
      <x:c r="D10" s="10" t="n">
        <x:v>30</x:v>
      </x:c>
      <x:c r="E10" s="10" t="n">
        <x:v>27940</x:v>
      </x:c>
      <x:c r="F10" s="12" t="n">
        <x:v>0.005772844387212807</x:v>
      </x:c>
      <x:c r="H10" t="str">
        <x:v>23084</x:v>
      </x:c>
      <x:c r="I10" t="str">
        <x:v>RABBIT NIGHT LIGHT</x:v>
      </x:c>
      <x:c r="J10" s="8" t="n">
        <x:v>66964.99</x:v>
      </x:c>
      <x:c r="K10" s="10" t="n">
        <x:v>30788</x:v>
      </x:c>
      <x:c r="L10" s="10" t="n">
        <x:v>994</x:v>
      </x:c>
    </x:row>
    <x:row r="11">
      <x:c r="A11" t="str">
        <x:v>Switzerland</x:v>
      </x:c>
      <x:c r="B11" s="8" t="n">
        <x:v>57089.9</x:v>
      </x:c>
      <x:c r="C11" s="10" t="n">
        <x:v>54</x:v>
      </x:c>
      <x:c r="D11" s="10" t="n">
        <x:v>21</x:v>
      </x:c>
      <x:c r="E11" s="10" t="n">
        <x:v>30629</x:v>
      </x:c>
      <x:c r="F11" s="12" t="n">
        <x:v>0.005352169154764497</x:v>
      </x:c>
      <x:c r="H11" t="str">
        <x:v>22086</x:v>
      </x:c>
      <x:c r="I11" t="str">
        <x:v>PAPER CHAIN KIT 50'S CHRISTMAS </x:v>
      </x:c>
      <x:c r="J11" s="8" t="n">
        <x:v>64952.29</x:v>
      </x:c>
      <x:c r="K11" s="10" t="n">
        <x:v>19355</x:v>
      </x:c>
      <x:c r="L11" s="10" t="n">
        <x:v>1160</x:v>
      </x:c>
    </x:row>
    <x:row r="12">
      <x:c r="A12" t="str">
        <x:v>Belgium</x:v>
      </x:c>
      <x:c r="B12" s="8" t="n">
        <x:v>41196.34</x:v>
      </x:c>
      <x:c r="C12" s="10" t="n">
        <x:v>98</x:v>
      </x:c>
      <x:c r="D12" s="10" t="n">
        <x:v>25</x:v>
      </x:c>
      <x:c r="E12" s="10" t="n">
        <x:v>23237</x:v>
      </x:c>
      <x:c r="F12" s="12" t="n">
        <x:v>0.0038621504020359258</x:v>
      </x:c>
      <x:c r="H12" t="str">
        <x:v>84879</x:v>
      </x:c>
      <x:c r="I12" t="str">
        <x:v>ASSORTED COLOUR BIRD ORNAMENT</x:v>
      </x:c>
      <x:c r="J12" s="8" t="n">
        <x:v>59094.93</x:v>
      </x:c>
      <x:c r="K12" s="10" t="n">
        <x:v>36461</x:v>
      </x:c>
      <x:c r="L12" s="10" t="n">
        <x:v>1455</x:v>
      </x:c>
    </x:row>
    <x:row r="13">
      <x:c r="A13" t="str">
        <x:v>Sweden</x:v>
      </x:c>
      <x:c r="B13" s="8" t="n">
        <x:v>38378.33</x:v>
      </x:c>
      <x:c r="C13" s="10" t="n">
        <x:v>36</x:v>
      </x:c>
      <x:c r="D13" s="10" t="n">
        <x:v>8</x:v>
      </x:c>
      <x:c r="E13" s="10" t="n">
        <x:v>36083</x:v>
      </x:c>
      <x:c r="F13" s="12" t="n">
        <x:v>0.0035979624073150056</x:v>
      </x:c>
      <x:c r="H13" t="str">
        <x:v>79321</x:v>
      </x:c>
      <x:c r="I13" t="str">
        <x:v>CHILLI LIGHTS</x:v>
      </x:c>
      <x:c r="J13" s="8" t="n">
        <x:v>54117.76</x:v>
      </x:c>
      <x:c r="K13" s="10" t="n">
        <x:v>10306</x:v>
      </x:c>
      <x:c r="L13" s="10" t="n">
        <x:v>661</x:v>
      </x:c>
    </x:row>
    <x:row r="14">
      <x:c r="H14" t="str">
        <x:v>23298</x:v>
      </x:c>
      <x:c r="I14" t="str">
        <x:v>SPOTTY BUNTING</x:v>
      </x:c>
      <x:c r="J14" s="8" t="n">
        <x:v>42548.130000000005</x:v>
      </x:c>
      <x:c r="K14" s="10" t="n">
        <x:v>8327</x:v>
      </x:c>
      <x:c r="L14" s="10" t="n">
        <x:v>1140</x:v>
      </x:c>
    </x:row>
    <x:row r="15">
      <x:c r="H15" t="str">
        <x:v>22386</x:v>
      </x:c>
      <x:c r="I15" t="str">
        <x:v>JUMBO BAG PINK POLKADOT</x:v>
      </x:c>
      <x:c r="J15" s="8" t="n">
        <x:v>42436.24</x:v>
      </x:c>
      <x:c r="K15" s="10" t="n">
        <x:v>21465</x:v>
      </x:c>
      <x:c r="L15" s="10" t="n">
        <x:v>1218</x:v>
      </x:c>
    </x:row>
    <x:row r="16">
      <x:c r="H16" t="str">
        <x:v>21137</x:v>
      </x:c>
      <x:c r="I16" t="str">
        <x:v>BLACK RECORD COVER FRAME</x:v>
      </x:c>
      <x:c r="J16" s="8" t="n">
        <x:v>40652.13</x:v>
      </x:c>
      <x:c r="K16" s="10" t="n">
        <x:v>11656</x:v>
      </x:c>
      <x:c r="L16" s="10" t="n">
        <x:v>375</x:v>
      </x:c>
    </x:row>
    <x:row r="17">
      <x:c r="H17" t="str">
        <x:v>22502</x:v>
      </x:c>
      <x:c r="I17" t="str">
        <x:v>PICNIC BASKET WICKER 60 PIECES</x:v>
      </x:c>
      <x:c r="J17" s="8" t="n">
        <x:v>39619.5</x:v>
      </x:c>
      <x:c r="K17" s="10" t="n">
        <x:v>61</x:v>
      </x:c>
      <x:c r="L17" s="10" t="n">
        <x:v>2</x:v>
      </x:c>
    </x:row>
    <x:row r="18">
      <x:c r="H18" t="str">
        <x:v>23284</x:v>
      </x:c>
      <x:c r="I18" t="str">
        <x:v>DOORMAT KEEP CALM AND COME IN</x:v>
      </x:c>
      <x:c r="J18" s="8" t="n">
        <x:v>38166.64</x:v>
      </x:c>
      <x:c r="K18" s="10" t="n">
        <x:v>5491</x:v>
      </x:c>
      <x:c r="L18" s="10" t="n">
        <x:v>728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3" t="str">
        <x:v>Methodology, Data Source &amp; Refresh</x:v>
      </x:c>
      <x:c r="B1" s="3"/>
      <x:c r="C1" s="3"/>
      <x:c r="D1" s="3"/>
      <x:c r="E1" s="3"/>
      <x:c r="F1" s="3"/>
    </x:row>
    <x:row r="3">
      <x:c r="A3" s="7" t="str">
        <x:v>Topic</x:v>
      </x:c>
      <x:c r="B3" s="7" t="str">
        <x:v>Details</x:v>
      </x:c>
    </x:row>
    <x:row r="4" ht="38" customHeight="1">
      <x:c r="A4" s="40" t="str">
        <x:v>Source</x:v>
      </x:c>
      <x:c r="B4" s="43" t="str">
        <x:v>UCI Machine Learning Repository, Online Retail (Chen, 2015), DOI 10.24432/C5BW33. License: CC BY 4.0.</x:v>
      </x:c>
    </x:row>
    <x:row r="5" ht="38" customHeight="1">
      <x:c r="A5" s="40" t="str">
        <x:v>Coverage</x:v>
      </x:c>
      <x:c r="B5" s="43" t="str">
        <x:v>541,909 source rows; UK non-store online retailer; 1 Dec 2010 through 9 Dec 2011. Unit prices are in GBP.</x:v>
      </x:c>
    </x:row>
    <x:row r="6" ht="38" customHeight="1">
      <x:c r="A6" s="40" t="str">
        <x:v>Sales definition</x:v>
      </x:c>
      <x:c r="B6" s="43" t="str">
        <x:v>Positive quantity × positive unit price on non-cancelled invoice lines. Includes qualifying service/postage lines; not profit or net revenue after every adjustment.</x:v>
      </x:c>
    </x:row>
    <x:row r="7" ht="38" customHeight="1">
      <x:c r="A7" s="40" t="str">
        <x:v>Customer definition</x:v>
      </x:c>
      <x:c r="B7" s="43" t="str">
        <x:v>Rows without CustomerID are included in sales but excluded from customer counts, repeat rate, and RFM segments.</x:v>
      </x:c>
    </x:row>
    <x:row r="8" ht="38" customHeight="1">
      <x:c r="A8" s="40" t="str">
        <x:v>Cleaning</x:v>
      </x:c>
      <x:c r="B8" s="43" t="str">
        <x:v>Excludes cancellation invoices (invoice begins C), nonpositive quantity, nonpositive unit price, and missing transaction date.</x:v>
      </x:c>
    </x:row>
    <x:row r="9" ht="38" customHeight="1">
      <x:c r="A9" s="40" t="str">
        <x:v>RFM</x:v>
      </x:c>
      <x:c r="B9" s="43" t="str">
        <x:v>Recency, order frequency, and customer sales are grouped with transparent heuristic segment labels; descriptive only, not causal.</x:v>
      </x:c>
    </x:row>
    <x:row r="10" ht="38" customHeight="1">
      <x:c r="A10" s="40" t="str">
        <x:v>Product ranking</x:v>
      </x:c>
      <x:c r="B10" s="43" t="str">
        <x:v>Merchandise table excludes service/adjustment codes DOT, M, POST, D, C2, CRUK, AMAZONFEE.</x:v>
      </x:c>
    </x:row>
    <x:row r="11" ht="38" customHeight="1">
      <x:c r="A11" s="40" t="str">
        <x:v>Partial period</x:v>
      </x:c>
      <x:c r="B11" s="43" t="str">
        <x:v>December 2011 ends on Dec 9, so month-over-month comparisons with a full month should be treated carefully.</x:v>
      </x:c>
    </x:row>
    <x:row r="12" ht="38" customHeight="1">
      <x:c r="A12" s="40" t="str">
        <x:v>Refresh</x:v>
      </x:c>
      <x:c r="B12" s="43" t="str">
        <x:v>Run `python src/analyze.py` from the project folder; then refresh the workbook summary tables with updated output CSVs.</x:v>
      </x:c>
    </x:row>
    <x:row r="13" ht="38" customHeight="1">
      <x:c r="A13" s="40" t="str">
        <x:v>Source URL</x:v>
      </x:c>
      <x:c r="B13" s="43" t="str">
        <x:v>https://archive.ics.uci.edu/dataset/352/online+retail</x:v>
      </x:c>
    </x:row>
    <x:row r="14" ht="38" customHeight="1">
      <x:c r="A14" s="40" t="str">
        <x:v>Workbook interpretation</x:v>
      </x:c>
      <x:c r="B14" s="43" t="str">
        <x:v>All headline KPI values are formula-linked to the supporting monthly and customer segment tabs.</x:v>
      </x:c>
    </x:row>
  </x:sheetData>
  <x:mergeCells>
    <x:mergeCell ref="A1:F1"/>
  </x:mergeCells>
  <x:pageMargins left="0.7" right="0.7" top="0.75" bottom="0.75" header="0.3" footer="0.3"/>
</x:worksheet>
</file>